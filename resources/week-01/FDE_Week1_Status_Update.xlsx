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eek 1 Tasks" sheetId="2" state="visible" r:id="rId4"/>
    <sheet name="1.1 Deliverables" sheetId="3" state="visible" r:id="rId5"/>
    <sheet name="1.3 Scripts" sheetId="4" state="visible" r:id="rId6"/>
    <sheet name="Fixes &amp; Observations" sheetId="5" state="visible" r:id="rId7"/>
    <sheet name="Next Step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<sst xmlns="http://schemas.openxmlformats.org/spreadsheetml/2006/main" count="191" uniqueCount="144">
  <si>
    <t xml:space="preserve">FDE 12-Week Plan: status update</t>
  </si>
  <si>
    <t xml:space="preserve">Status date: 25 Oct 2026 | Commitment: 18-20 hrs per week</t>
  </si>
  <si>
    <t xml:space="preserve">Item</t>
  </si>
  <si>
    <t xml:space="preserve">Value</t>
  </si>
  <si>
    <t xml:space="preserve">Current week</t>
  </si>
  <si>
    <t xml:space="preserve">Week 1: Role clarity and setup (all 4 tasks complete)</t>
  </si>
  <si>
    <t xml:space="preserve">Overall status</t>
  </si>
  <si>
    <t xml:space="preserve">Week 1 complete; 6 small follow-ups open before moving fully into Week 2</t>
  </si>
  <si>
    <t xml:space="preserve">Tasks done</t>
  </si>
  <si>
    <t xml:space="preserve">Tasks in week</t>
  </si>
  <si>
    <t xml:space="preserve">Planned hours (Week 1)</t>
  </si>
  <si>
    <t xml:space="preserve">Hours counted as done</t>
  </si>
  <si>
    <t xml:space="preserve">Week 1 % complete</t>
  </si>
  <si>
    <t xml:space="preserve">Hours remaining</t>
  </si>
  <si>
    <t xml:space="preserve">Next action</t>
  </si>
  <si>
    <t xml:space="preserve">Close the Week 1 follow-ups (about 1 hr), then start Week 2: customer discovery, technical writing, enterprise data overview, Python part 2</t>
  </si>
  <si>
    <t xml:space="preserve">Week 1: Role clarity and setup - task tracker</t>
  </si>
  <si>
    <t xml:space="preserve">Blue cells are the ones you edit (Status). Hours counted and totals recalculate. Status options: Done, In progress, Not started.</t>
  </si>
  <si>
    <t xml:space="preserve">Task</t>
  </si>
  <si>
    <t xml:space="preserve">Task name</t>
  </si>
  <si>
    <t xml:space="preserve">Est. hrs</t>
  </si>
  <si>
    <t xml:space="preserve">Status</t>
  </si>
  <si>
    <t xml:space="preserve">Hours counted</t>
  </si>
  <si>
    <t xml:space="preserve">Evidence / notes</t>
  </si>
  <si>
    <t xml:space="preserve">1.1</t>
  </si>
  <si>
    <t xml:space="preserve">Understand the FDE role</t>
  </si>
  <si>
    <t xml:space="preserve">Done</t>
  </si>
  <si>
    <t xml:space="preserve">Palantir blog read; 5 JDs captured; recurring skills list written; one-page role map produced; role explanation drafted. Python and travel corrections now applied in your doc. Still outstanding: say the 2-minute explanation aloud (checkpoint).</t>
  </si>
  <si>
    <t xml:space="preserve">1.2</t>
  </si>
  <si>
    <t xml:space="preserve">Dev environment (VS Code, Python 3.12+, Git, GitHub repo fde-journey)</t>
  </si>
  <si>
    <t xml:space="preserve">VS Code installed (v1.133.0); Python and Git working; GitHub account SushilB2402; repo fde-journey created with README and folders; first commits pushed from terminal; week1/hello.py written, run (prints Hello, world!) and pushed. GitHub commit list shows 3 commits: Initial commit, Add folder structure, Add hello world script. Minor: repo has notes/, projects/, resources/ instead of the journal/ folder in the checklist (fine; use notes/ for 1.4 or add journal/).</t>
  </si>
  <si>
    <t xml:space="preserve">1.3</t>
  </si>
  <si>
    <t xml:space="preserve">Python basics, part 1 (CS50P lectures 0-2, 10 small scripts)</t>
  </si>
  <si>
    <t xml:space="preserve">10 CS50P scripts written and run, each with output shown: indoor, playback, faces, einstein, tip, deep, extensions, math_interpreter, camel, twttr. Plus 2 checkpoint functions (is_even, hours-to-minutes = 210). See 1.3 Scripts tab. To confirm: all files committed and pushed to GitHub (no git log shown in doc); checkpoint1.py shows a stray duplicate print line in the doc.</t>
  </si>
  <si>
    <t xml:space="preserve">1.4</t>
  </si>
  <si>
    <t xml:space="preserve">Start the learning journal</t>
  </si>
  <si>
    <t xml:space="preserve">Template (notes/journal-template.md), Week 01 entry with real blockers and fixes, and 5-bullet role summary all done. Open: friend checkpoint not possible (no friend available; wants to keep it private), so substitute a plain-English test; journal 'Next Step' needs aligning to Week 2; bullets still use some jargon.</t>
  </si>
  <si>
    <t xml:space="preserve">Total</t>
  </si>
  <si>
    <t xml:space="preserve">Note: Est. hrs come from the 12-week checklist (Week 1 total 19 hrs). A task counts toward hours only when Status = Done.</t>
  </si>
  <si>
    <t xml:space="preserve">Task 1.1: what you produced</t>
  </si>
  <si>
    <t xml:space="preserve">#</t>
  </si>
  <si>
    <t xml:space="preserve">Deliverable</t>
  </si>
  <si>
    <t xml:space="preserve">Notes</t>
  </si>
  <si>
    <t xml:space="preserve">Palantir blog post read</t>
  </si>
  <si>
    <t xml:space="preserve">Palantir Blog (Medium), 'A Day in the Life of a Palantir Forward Deployed Software Engineer', Nov 2, 2020, 7 min read.</t>
  </si>
  <si>
    <t xml:space="preserve">5 FDE job descriptions captured</t>
  </si>
  <si>
    <t xml:space="preserve">Palantir, OpenAI (London), Anthropic (London), Databricks (London), Scale AI. Captured 19-20 Oct 2026.</t>
  </si>
  <si>
    <t xml:space="preserve">Recurring skills and responsibilities list</t>
  </si>
  <si>
    <t xml:space="preserve">Two corrections applied in your doc: Python (required or strongly preferred in 4 of 5; Palantir language-flexible) and travel (4 of 5; not Scale AI).</t>
  </si>
  <si>
    <t xml:space="preserve">One-page FDE role map (table)</t>
  </si>
  <si>
    <t xml:space="preserve">Five operational pillars: architecture and AI systems, production delivery, quality and evals, customer immersion, product feedback and reuse. Each has responsibilities, skills, customer scenario.</t>
  </si>
  <si>
    <t xml:space="preserve">Role explanation vs SWE, solutions engineer, consultant</t>
  </si>
  <si>
    <t xml:space="preserve">Drafted</t>
  </si>
  <si>
    <t xml:space="preserve">Written script exists. Checkpoint requires saying it aloud in about 2 minutes without notes.</t>
  </si>
  <si>
    <t xml:space="preserve">Bonus: 'A Day in the Life of a Forward Deployed Engineer'</t>
  </si>
  <si>
    <t xml:space="preserve">Done (extra)</t>
  </si>
  <si>
    <t xml:space="preserve">Third-party article; 75/15/10 time split (engineering / consulting and design / client relationship).</t>
  </si>
  <si>
    <t xml:space="preserve">Task 1.3: script review</t>
  </si>
  <si>
    <t xml:space="preserve">Script</t>
  </si>
  <si>
    <t xml:space="preserve">Problem set</t>
  </si>
  <si>
    <t xml:space="preserve">Run evidence</t>
  </si>
  <si>
    <t xml:space="preserve">Review notes</t>
  </si>
  <si>
    <t xml:space="preserve">indoor.py</t>
  </si>
  <si>
    <t xml:space="preserve">PS0 Indoor Voice</t>
  </si>
  <si>
    <t xml:space="preserve">Yes</t>
  </si>
  <si>
    <t xml:space="preserve">Correct. Uses .lower().</t>
  </si>
  <si>
    <t xml:space="preserve">playback.py</t>
  </si>
  <si>
    <t xml:space="preserve">PS0 Playback Speed</t>
  </si>
  <si>
    <t xml:space="preserve">Correct. Uses .replace(' ', '...').</t>
  </si>
  <si>
    <t xml:space="preserve">faces.py</t>
  </si>
  <si>
    <t xml:space="preserve">PS0 Making Faces</t>
  </si>
  <si>
    <t xml:space="preserve">Correct; clean convert()/main() structure.</t>
  </si>
  <si>
    <t xml:space="preserve">einstein.py</t>
  </si>
  <si>
    <t xml:space="preserve">PS0 Einstein</t>
  </si>
  <si>
    <t xml:space="preserve">Correct for integer mass; E = m*c**2 with c = 300000000.</t>
  </si>
  <si>
    <t xml:space="preserve">tip.py</t>
  </si>
  <si>
    <t xml:space="preserve">PS0 Tip Calculator</t>
  </si>
  <si>
    <t xml:space="preserve">Correct; handles '$' and '%'. Calls main() without the __name__ guard used elsewhere; fix the comment typo 'afloat'.</t>
  </si>
  <si>
    <t xml:space="preserve">deep.py</t>
  </si>
  <si>
    <t xml:space="preserve">PS1 Deep Thought</t>
  </si>
  <si>
    <t xml:space="preserve">Correct; strip + lower and accepts 42 / forty-two / forty two.</t>
  </si>
  <si>
    <t xml:space="preserve">extensions.py</t>
  </si>
  <si>
    <t xml:space="preserve">PS1 File Extensions</t>
  </si>
  <si>
    <t xml:space="preserve">Correct; endswith with default application/octet-stream.</t>
  </si>
  <si>
    <t xml:space="preserve">math_interpreter.py</t>
  </si>
  <si>
    <t xml:space="preserve">PS1 Math Interpreter</t>
  </si>
  <si>
    <t xml:space="preserve">Correct for spaced input. Known limits (fine for the pset): '1+1' raises ValueError, unknown operator or divide by zero not handled.</t>
  </si>
  <si>
    <t xml:space="preserve">camel.py</t>
  </si>
  <si>
    <t xml:space="preserve">PS2 camelCase</t>
  </si>
  <si>
    <t xml:space="preserve">Correct; loop with isupper().</t>
  </si>
  <si>
    <t xml:space="preserve">twttr.py</t>
  </si>
  <si>
    <t xml:space="preserve">PS2 Just setting up my twttr</t>
  </si>
  <si>
    <t xml:space="preserve">Correct; omit_vowels() as a function. Strong use of a list and join.</t>
  </si>
  <si>
    <t xml:space="preserve">checkpoint1.py</t>
  </si>
  <si>
    <t xml:space="preserve">Checkpoint: is_even(n)</t>
  </si>
  <si>
    <t xml:space="preserve">Logic correct. The doc shows a duplicated 'print ... odd number' line after the else block; if it is in the file it causes an IndentationError, so confirm.</t>
  </si>
  <si>
    <t xml:space="preserve">checkpoint2.py</t>
  </si>
  <si>
    <t xml:space="preserve">Checkpoint: hours to minutes</t>
  </si>
  <si>
    <t xml:space="preserve">Correct: convert_hours_to_minutes(3, 30) returns 210.</t>
  </si>
  <si>
    <t xml:space="preserve">Fixes before ticking 1.1 off, and observations</t>
  </si>
  <si>
    <t xml:space="preserve">Type</t>
  </si>
  <si>
    <t xml:space="preserve">Detail / suggested change</t>
  </si>
  <si>
    <t xml:space="preserve">Fix</t>
  </si>
  <si>
    <t xml:space="preserve">Python is not a universal requirement</t>
  </si>
  <si>
    <t xml:space="preserve">Skills list says Python is required across all 5 JDs. Palantir lists it as one option among Java, C++, TypeScript. Change to: 'required or strongly preferred in 4 of 5; Palantir is language-flexible.'</t>
  </si>
  <si>
    <t xml:space="preserve">Travel appears in 4 of 5 JDs</t>
  </si>
  <si>
    <t xml:space="preserve">Palantir, OpenAI, Anthropic and Databricks mention travel (25-50%). The Scale AI posting does not.</t>
  </si>
  <si>
    <t xml:space="preserve">Checkpoint</t>
  </si>
  <si>
    <t xml:space="preserve">Explain the role aloud, no notes</t>
  </si>
  <si>
    <t xml:space="preserve">Record yourself once on your phone, about 2 minutes, covering what an FDE is and how it differs from a SWE, solutions engineer and consultant.</t>
  </si>
  <si>
    <t xml:space="preserve">Open</t>
  </si>
  <si>
    <t xml:space="preserve">Observation</t>
  </si>
  <si>
    <t xml:space="preserve">JDs split into two emphases</t>
  </si>
  <si>
    <t xml:space="preserve">Scale and Anthropic lean toward LLM, agent and eval work. Palantir and Databricks lean toward data platforms and integration. The Week 5-8 projects cover both.</t>
  </si>
  <si>
    <t xml:space="preserve">Info</t>
  </si>
  <si>
    <t xml:space="preserve">Experience bar and entry points</t>
  </si>
  <si>
    <t xml:space="preserve">Most JDs ask for 4-5+ years of engineering experience. The Palantir posting saved is a US new-grad role requiring US clearance eligibility, so use it as a model of the role rather than a target.</t>
  </si>
  <si>
    <t xml:space="preserve">Verify</t>
  </si>
  <si>
    <t xml:space="preserve">Confirm 1.3 files are pushed</t>
  </si>
  <si>
    <t xml:space="preserve">Doc shows run output but no git log for 1.3. Run 'git status' and 'git log --oneline', then check GitHub shows week1/cs50p/ with all 12 files and notes/ with the journal files.</t>
  </si>
  <si>
    <t xml:space="preserve">checkpoint1.py stray line</t>
  </si>
  <si>
    <t xml:space="preserve">A duplicated print line after the else block appears in the doc. Open the file and delete it if present.</t>
  </si>
  <si>
    <t xml:space="preserve">Journal 'Next Step' does not match Week 2</t>
  </si>
  <si>
    <t xml:space="preserve">Entry says build CLI tools and learn API fundamentals. Week 2 is customer discovery (The Mom Test), technical writing, enterprise data overview, and CS50P part 2 (exceptions, libraries, file I/O). APIs come in Week 4.</t>
  </si>
  <si>
    <t xml:space="preserve">Simplify the 5-bullet summary</t>
  </si>
  <si>
    <t xml:space="preserve">Remove jargon for a non-technical reader: production-grade, backend, IT systems, system monitoring, core platform, startup CTO. Keep one everyday analogy.</t>
  </si>
  <si>
    <t xml:space="preserve">Friend test substitute</t>
  </si>
  <si>
    <t xml:space="preserve">No friend available and you want to keep it private. Substitute: open a fresh Claude chat, say 'You are a non-technical reader', paste only the 5 bullets, ask it to explain the role back, and fix anything it gets wrong.</t>
  </si>
  <si>
    <t xml:space="preserve">Strong Week 1 output</t>
  </si>
  <si>
    <t xml:space="preserve">All 4 tasks delivered with evidence, 12 working scripts (2 beyond the 10 required), and a journal that records real errors and fixes, which is the habit the task is meant to build.</t>
  </si>
  <si>
    <t xml:space="preserve">Next steps</t>
  </si>
  <si>
    <t xml:space="preserve">Order</t>
  </si>
  <si>
    <t xml:space="preserve">Action</t>
  </si>
  <si>
    <t xml:space="preserve">Linked</t>
  </si>
  <si>
    <t xml:space="preserve">Timing</t>
  </si>
  <si>
    <t xml:space="preserve">Close Week 1 follow-ups: verify git push, fix checkpoint1.py, align journal Next Step, simplify 5 bullets, run the plain-English test in a fresh Claude chat; also say the 2-minute role explanation aloud</t>
  </si>
  <si>
    <t xml:space="preserve">Week 1</t>
  </si>
  <si>
    <t xml:space="preserve">Before Week 2</t>
  </si>
  <si>
    <t xml:space="preserve">2.1 Customer discovery: read The Mom Test; write discovery questions for a fictional hospital; role-play the call</t>
  </si>
  <si>
    <t xml:space="preserve">Week 2</t>
  </si>
  <si>
    <t xml:space="preserve">2.2 Clear technical writing: Google Technical Writing One; write a half-page status update</t>
  </si>
  <si>
    <t xml:space="preserve">2.3 Enterprise data and integration overview: Azure Data Fundamentals path; draw a CRM-to-report data-flow diagram</t>
  </si>
  <si>
    <t xml:space="preserve">2.4 Python basics, part 2: CS50P exceptions, libraries, file I/O; CSV cleaning script</t>
  </si>
  <si>
    <t xml:space="preserve">Total hours (follow-ups plus Week 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</si>
</sst>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8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s">
        <v>5</v>
      </c>
    </row>
    <row r="6" customFormat="false" ht="15" hidden="false" customHeight="true" outlineLevel="0" collapsed="false">
      <c r="A6" s="5" t="s">
        <v>6</v>
      </c>
      <c r="B6" s="6" t="s">
        <v>7</v>
      </c>
    </row>
    <row r="7" customFormat="false" ht="15" hidden="false" customHeight="true" outlineLevel="0" collapsed="false">
      <c r="A7" s="5" t="s">
        <v>8</v>
      </c>
      <c r="B7" s="6" t="n">
        <f aca="false">COUNTIF('Week 1 Tasks'!D5:D8,"Done")</f>
        <v>4</v>
      </c>
    </row>
    <row r="8" customFormat="false" ht="15" hidden="false" customHeight="true" outlineLevel="0" collapsed="false">
      <c r="A8" s="5" t="s">
        <v>9</v>
      </c>
      <c r="B8" s="6" t="n">
        <f aca="false">COUNTA('Week 1 Tasks'!A5:A8)</f>
        <v>4</v>
      </c>
    </row>
    <row r="9" customFormat="false" ht="15" hidden="false" customHeight="true" outlineLevel="0" collapsed="false">
      <c r="A9" s="5" t="s">
        <v>10</v>
      </c>
      <c r="B9" s="6" t="n">
        <f aca="false">'Week 1 Tasks'!C9</f>
        <v>19</v>
      </c>
    </row>
    <row r="10" customFormat="false" ht="15" hidden="false" customHeight="true" outlineLevel="0" collapsed="false">
      <c r="A10" s="5" t="s">
        <v>11</v>
      </c>
      <c r="B10" s="6" t="n">
        <f aca="false">'Week 1 Tasks'!E9</f>
        <v>19</v>
      </c>
    </row>
    <row r="11" customFormat="false" ht="15" hidden="false" customHeight="true" outlineLevel="0" collapsed="false">
      <c r="A11" s="5" t="s">
        <v>12</v>
      </c>
      <c r="B11" s="7" t="n">
        <f aca="false">IF(B9=0,0,B10/B9)</f>
        <v>1</v>
      </c>
    </row>
    <row r="12" customFormat="false" ht="15" hidden="false" customHeight="true" outlineLevel="0" collapsed="false">
      <c r="A12" s="5" t="s">
        <v>13</v>
      </c>
      <c r="B12" s="6" t="n">
        <f aca="false">B9-B10</f>
        <v>0</v>
      </c>
    </row>
    <row r="13" customFormat="false" ht="15" hidden="false" customHeight="true" outlineLevel="0" collapsed="false">
      <c r="A13" s="5" t="s">
        <v>14</v>
      </c>
      <c r="B13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80"/>
  </cols>
  <sheetData>
    <row r="1" customFormat="false" ht="17.25" hidden="false" customHeight="true" outlineLevel="0" collapsed="false">
      <c r="A1" s="2" t="s">
        <v>16</v>
      </c>
    </row>
    <row r="2" customFormat="false" ht="15" hidden="false" customHeight="true" outlineLevel="0" collapsed="false">
      <c r="A2" s="3" t="s">
        <v>17</v>
      </c>
    </row>
    <row r="4" customFormat="false" ht="15" hidden="false" customHeight="tru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customFormat="false" ht="34.5" hidden="false" customHeight="true" outlineLevel="0" collapsed="false">
      <c r="A5" s="8" t="s">
        <v>24</v>
      </c>
      <c r="B5" s="8" t="s">
        <v>25</v>
      </c>
      <c r="C5" s="8" t="n">
        <v>4</v>
      </c>
      <c r="D5" s="9" t="s">
        <v>26</v>
      </c>
      <c r="E5" s="8" t="n">
        <f aca="false">IF(D5="Done",C5,0)</f>
        <v>4</v>
      </c>
      <c r="F5" s="8" t="s">
        <v>27</v>
      </c>
    </row>
    <row r="6" customFormat="false" ht="23.25" hidden="false" customHeight="true" outlineLevel="0" collapsed="false">
      <c r="A6" s="8" t="s">
        <v>28</v>
      </c>
      <c r="B6" s="8" t="s">
        <v>29</v>
      </c>
      <c r="C6" s="8" t="n">
        <v>5</v>
      </c>
      <c r="D6" s="9" t="s">
        <v>26</v>
      </c>
      <c r="E6" s="8" t="n">
        <f aca="false">IF(D6="Done",C6,0)</f>
        <v>5</v>
      </c>
      <c r="F6" s="8" t="s">
        <v>30</v>
      </c>
    </row>
    <row r="7" customFormat="false" ht="23.25" hidden="false" customHeight="true" outlineLevel="0" collapsed="false">
      <c r="A7" s="8" t="s">
        <v>31</v>
      </c>
      <c r="B7" s="8" t="s">
        <v>32</v>
      </c>
      <c r="C7" s="8" t="n">
        <v>7</v>
      </c>
      <c r="D7" s="9" t="s">
        <v>26</v>
      </c>
      <c r="E7" s="8" t="n">
        <f aca="false">IF(D7="Done",C7,0)</f>
        <v>7</v>
      </c>
      <c r="F7" s="8" t="s">
        <v>33</v>
      </c>
    </row>
    <row r="8" customFormat="false" ht="15" hidden="false" customHeight="true" outlineLevel="0" collapsed="false">
      <c r="A8" s="8" t="s">
        <v>34</v>
      </c>
      <c r="B8" s="8" t="s">
        <v>35</v>
      </c>
      <c r="C8" s="8" t="n">
        <v>3</v>
      </c>
      <c r="D8" s="9" t="s">
        <v>26</v>
      </c>
      <c r="E8" s="8" t="n">
        <f aca="false">IF(D8="Done",C8,0)</f>
        <v>3</v>
      </c>
      <c r="F8" s="8" t="s">
        <v>36</v>
      </c>
    </row>
    <row r="9" customFormat="false" ht="15" hidden="false" customHeight="true" outlineLevel="0" collapsed="false">
      <c r="A9" s="10"/>
      <c r="B9" s="10" t="s">
        <v>37</v>
      </c>
      <c r="C9" s="10" t="n">
        <f aca="false">SUM(C5:C8)</f>
        <v>19</v>
      </c>
      <c r="D9" s="10"/>
      <c r="E9" s="10" t="n">
        <f aca="false">SUM(E5:E8)</f>
        <v>19</v>
      </c>
      <c r="F9" s="10" t="str">
        <f aca="false">TEXT(E9/C9,"0%")&amp;" of planned Week 1 hours complete"</f>
        <v>100% of planned Week 1 hours complete</v>
      </c>
    </row>
    <row r="11" customFormat="false" ht="15" hidden="false" customHeight="true" outlineLevel="0" collapsed="false">
      <c r="A11" s="3" t="s">
        <v>38</v>
      </c>
    </row>
  </sheetData>
  <conditionalFormatting sqref="D5:D8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</conditionalFormatting>
  <dataValidations count="1">
    <dataValidation allowBlank="false" errorStyle="stop" operator="between" showDropDown="false" showErrorMessage="false" showInputMessage="false" sqref="D5:D8" type="list">
      <formula1>"Done,In progress,Not started"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7.25" hidden="false" customHeight="true" outlineLevel="0" collapsed="false">
      <c r="A1" s="2" t="s">
        <v>39</v>
      </c>
    </row>
    <row r="3" customFormat="false" ht="15" hidden="false" customHeight="true" outlineLevel="0" collapsed="false">
      <c r="A3" s="4" t="s">
        <v>40</v>
      </c>
      <c r="B3" s="4" t="s">
        <v>41</v>
      </c>
      <c r="C3" s="4" t="s">
        <v>21</v>
      </c>
      <c r="D3" s="4" t="s">
        <v>42</v>
      </c>
    </row>
    <row r="4" customFormat="false" ht="23.25" hidden="false" customHeight="true" outlineLevel="0" collapsed="false">
      <c r="A4" s="8" t="n">
        <v>1</v>
      </c>
      <c r="B4" s="8" t="s">
        <v>43</v>
      </c>
      <c r="C4" s="8" t="s">
        <v>26</v>
      </c>
      <c r="D4" s="8" t="s">
        <v>44</v>
      </c>
    </row>
    <row r="5" customFormat="false" ht="15" hidden="false" customHeight="true" outlineLevel="0" collapsed="false">
      <c r="A5" s="8" t="n">
        <v>2</v>
      </c>
      <c r="B5" s="8" t="s">
        <v>45</v>
      </c>
      <c r="C5" s="8" t="s">
        <v>26</v>
      </c>
      <c r="D5" s="8" t="s">
        <v>46</v>
      </c>
    </row>
    <row r="6" customFormat="false" ht="15" hidden="false" customHeight="true" outlineLevel="0" collapsed="false">
      <c r="A6" s="8" t="n">
        <v>3</v>
      </c>
      <c r="B6" s="8" t="s">
        <v>47</v>
      </c>
      <c r="C6" s="8" t="s">
        <v>26</v>
      </c>
      <c r="D6" s="8" t="s">
        <v>48</v>
      </c>
    </row>
    <row r="7" customFormat="false" ht="23.25" hidden="false" customHeight="true" outlineLevel="0" collapsed="false">
      <c r="A7" s="8" t="n">
        <v>4</v>
      </c>
      <c r="B7" s="8" t="s">
        <v>49</v>
      </c>
      <c r="C7" s="8" t="s">
        <v>26</v>
      </c>
      <c r="D7" s="8" t="s">
        <v>50</v>
      </c>
    </row>
    <row r="8" customFormat="false" ht="15" hidden="false" customHeight="true" outlineLevel="0" collapsed="false">
      <c r="A8" s="8" t="n">
        <v>5</v>
      </c>
      <c r="B8" s="8" t="s">
        <v>51</v>
      </c>
      <c r="C8" s="8" t="s">
        <v>52</v>
      </c>
      <c r="D8" s="8" t="s">
        <v>53</v>
      </c>
    </row>
    <row r="9" customFormat="false" ht="15" hidden="false" customHeight="true" outlineLevel="0" collapsed="false">
      <c r="A9" s="8" t="n">
        <v>6</v>
      </c>
      <c r="B9" s="8" t="s">
        <v>54</v>
      </c>
      <c r="C9" s="8" t="s">
        <v>55</v>
      </c>
      <c r="D9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2"/>
    <col collapsed="false" customWidth="true" hidden="false" outlineLevel="0" max="5" min="5" style="1" width="95"/>
  </cols>
  <sheetData>
    <row r="1" customFormat="false" ht="17.25" hidden="false" customHeight="true" outlineLevel="0" collapsed="false">
      <c r="A1" s="2" t="s">
        <v>57</v>
      </c>
    </row>
    <row r="3" customFormat="false" ht="15" hidden="false" customHeight="true" outlineLevel="0" collapsed="false">
      <c r="A3" s="11" t="s">
        <v>40</v>
      </c>
      <c r="B3" s="11" t="s">
        <v>58</v>
      </c>
      <c r="C3" s="11" t="s">
        <v>59</v>
      </c>
      <c r="D3" s="11" t="s">
        <v>60</v>
      </c>
      <c r="E3" s="11" t="s">
        <v>61</v>
      </c>
    </row>
    <row r="4" customFormat="false" ht="15" hidden="false" customHeight="true" outlineLevel="0" collapsed="false">
      <c r="A4" s="12" t="n">
        <v>1</v>
      </c>
      <c r="B4" s="12" t="s">
        <v>62</v>
      </c>
      <c r="C4" s="12" t="s">
        <v>63</v>
      </c>
      <c r="D4" s="12" t="s">
        <v>64</v>
      </c>
      <c r="E4" s="12" t="s">
        <v>65</v>
      </c>
    </row>
    <row r="5" customFormat="false" ht="15" hidden="false" customHeight="true" outlineLevel="0" collapsed="false">
      <c r="A5" s="12" t="n">
        <v>2</v>
      </c>
      <c r="B5" s="12" t="s">
        <v>66</v>
      </c>
      <c r="C5" s="12" t="s">
        <v>67</v>
      </c>
      <c r="D5" s="12" t="s">
        <v>64</v>
      </c>
      <c r="E5" s="12" t="s">
        <v>68</v>
      </c>
    </row>
    <row r="6" customFormat="false" ht="15" hidden="false" customHeight="true" outlineLevel="0" collapsed="false">
      <c r="A6" s="12" t="n">
        <v>3</v>
      </c>
      <c r="B6" s="12" t="s">
        <v>69</v>
      </c>
      <c r="C6" s="12" t="s">
        <v>70</v>
      </c>
      <c r="D6" s="12" t="s">
        <v>64</v>
      </c>
      <c r="E6" s="12" t="s">
        <v>71</v>
      </c>
    </row>
    <row r="7" customFormat="false" ht="15" hidden="false" customHeight="true" outlineLevel="0" collapsed="false">
      <c r="A7" s="12" t="n">
        <v>4</v>
      </c>
      <c r="B7" s="12" t="s">
        <v>72</v>
      </c>
      <c r="C7" s="12" t="s">
        <v>73</v>
      </c>
      <c r="D7" s="12" t="s">
        <v>64</v>
      </c>
      <c r="E7" s="12" t="s">
        <v>74</v>
      </c>
    </row>
    <row r="8" customFormat="false" ht="15" hidden="false" customHeight="true" outlineLevel="0" collapsed="false">
      <c r="A8" s="12" t="n">
        <v>5</v>
      </c>
      <c r="B8" s="12" t="s">
        <v>75</v>
      </c>
      <c r="C8" s="12" t="s">
        <v>76</v>
      </c>
      <c r="D8" s="12" t="s">
        <v>64</v>
      </c>
      <c r="E8" s="12" t="s">
        <v>77</v>
      </c>
    </row>
    <row r="9" customFormat="false" ht="15" hidden="false" customHeight="true" outlineLevel="0" collapsed="false">
      <c r="A9" s="12" t="n">
        <v>6</v>
      </c>
      <c r="B9" s="12" t="s">
        <v>78</v>
      </c>
      <c r="C9" s="12" t="s">
        <v>79</v>
      </c>
      <c r="D9" s="12" t="s">
        <v>64</v>
      </c>
      <c r="E9" s="12" t="s">
        <v>80</v>
      </c>
    </row>
    <row r="10" customFormat="false" ht="15" hidden="false" customHeight="true" outlineLevel="0" collapsed="false">
      <c r="A10" s="12" t="n">
        <v>7</v>
      </c>
      <c r="B10" s="12" t="s">
        <v>81</v>
      </c>
      <c r="C10" s="12" t="s">
        <v>82</v>
      </c>
      <c r="D10" s="12" t="s">
        <v>64</v>
      </c>
      <c r="E10" s="12" t="s">
        <v>83</v>
      </c>
    </row>
    <row r="11" customFormat="false" ht="23.25" hidden="false" customHeight="true" outlineLevel="0" collapsed="false">
      <c r="A11" s="12" t="n">
        <v>8</v>
      </c>
      <c r="B11" s="12" t="s">
        <v>84</v>
      </c>
      <c r="C11" s="12" t="s">
        <v>85</v>
      </c>
      <c r="D11" s="12" t="s">
        <v>64</v>
      </c>
      <c r="E11" s="12" t="s">
        <v>86</v>
      </c>
    </row>
    <row r="12" customFormat="false" ht="15" hidden="false" customHeight="true" outlineLevel="0" collapsed="false">
      <c r="A12" s="12" t="n">
        <v>9</v>
      </c>
      <c r="B12" s="12" t="s">
        <v>87</v>
      </c>
      <c r="C12" s="12" t="s">
        <v>88</v>
      </c>
      <c r="D12" s="12" t="s">
        <v>64</v>
      </c>
      <c r="E12" s="12" t="s">
        <v>89</v>
      </c>
    </row>
    <row r="13" customFormat="false" ht="15" hidden="false" customHeight="true" outlineLevel="0" collapsed="false">
      <c r="A13" s="12" t="n">
        <v>10</v>
      </c>
      <c r="B13" s="12" t="s">
        <v>90</v>
      </c>
      <c r="C13" s="12" t="s">
        <v>91</v>
      </c>
      <c r="D13" s="12" t="s">
        <v>64</v>
      </c>
      <c r="E13" s="12" t="s">
        <v>92</v>
      </c>
    </row>
    <row r="14" customFormat="false" ht="23.25" hidden="false" customHeight="true" outlineLevel="0" collapsed="false">
      <c r="A14" s="12" t="n">
        <v>11</v>
      </c>
      <c r="B14" s="12" t="s">
        <v>93</v>
      </c>
      <c r="C14" s="12" t="s">
        <v>94</v>
      </c>
      <c r="D14" s="12" t="s">
        <v>64</v>
      </c>
      <c r="E14" s="12" t="s">
        <v>95</v>
      </c>
    </row>
    <row r="15" customFormat="false" ht="15" hidden="false" customHeight="true" outlineLevel="0" collapsed="false">
      <c r="A15" s="12" t="n">
        <v>12</v>
      </c>
      <c r="B15" s="12" t="s">
        <v>96</v>
      </c>
      <c r="C15" s="12" t="s">
        <v>97</v>
      </c>
      <c r="D15" s="12" t="s">
        <v>64</v>
      </c>
      <c r="E15" s="12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38"/>
    <col collapsed="false" customWidth="true" hidden="false" outlineLevel="0" max="4" min="4" style="1" width="100"/>
    <col collapsed="false" customWidth="true" hidden="false" outlineLevel="0" max="5" min="5" style="1" width="10"/>
  </cols>
  <sheetData>
    <row r="1" customFormat="false" ht="17.25" hidden="false" customHeight="true" outlineLevel="0" collapsed="false">
      <c r="A1" s="2" t="s">
        <v>99</v>
      </c>
    </row>
    <row r="3" customFormat="false" ht="15" hidden="false" customHeight="true" outlineLevel="0" collapsed="false">
      <c r="A3" s="4" t="s">
        <v>40</v>
      </c>
      <c r="B3" s="4" t="s">
        <v>100</v>
      </c>
      <c r="C3" s="4" t="s">
        <v>2</v>
      </c>
      <c r="D3" s="4" t="s">
        <v>101</v>
      </c>
      <c r="E3" s="4" t="s">
        <v>21</v>
      </c>
    </row>
    <row r="4" customFormat="false" ht="23.25" hidden="false" customHeight="true" outlineLevel="0" collapsed="false">
      <c r="A4" s="8" t="n">
        <v>1</v>
      </c>
      <c r="B4" s="8" t="s">
        <v>102</v>
      </c>
      <c r="C4" s="8" t="s">
        <v>103</v>
      </c>
      <c r="D4" s="8" t="s">
        <v>104</v>
      </c>
      <c r="E4" s="9" t="s">
        <v>26</v>
      </c>
    </row>
    <row r="5" customFormat="false" ht="15" hidden="false" customHeight="true" outlineLevel="0" collapsed="false">
      <c r="A5" s="8" t="n">
        <v>2</v>
      </c>
      <c r="B5" s="8" t="s">
        <v>102</v>
      </c>
      <c r="C5" s="8" t="s">
        <v>105</v>
      </c>
      <c r="D5" s="8" t="s">
        <v>106</v>
      </c>
      <c r="E5" s="9" t="s">
        <v>26</v>
      </c>
    </row>
    <row r="6" customFormat="false" ht="23.25" hidden="false" customHeight="true" outlineLevel="0" collapsed="false">
      <c r="A6" s="8" t="n">
        <v>3</v>
      </c>
      <c r="B6" s="8" t="s">
        <v>107</v>
      </c>
      <c r="C6" s="8" t="s">
        <v>108</v>
      </c>
      <c r="D6" s="8" t="s">
        <v>109</v>
      </c>
      <c r="E6" s="9" t="s">
        <v>110</v>
      </c>
    </row>
    <row r="7" customFormat="false" ht="23.25" hidden="false" customHeight="true" outlineLevel="0" collapsed="false">
      <c r="A7" s="8" t="n">
        <v>4</v>
      </c>
      <c r="B7" s="8" t="s">
        <v>111</v>
      </c>
      <c r="C7" s="8" t="s">
        <v>112</v>
      </c>
      <c r="D7" s="8" t="s">
        <v>113</v>
      </c>
      <c r="E7" s="9" t="s">
        <v>114</v>
      </c>
    </row>
    <row r="8" customFormat="false" ht="23.25" hidden="false" customHeight="true" outlineLevel="0" collapsed="false">
      <c r="A8" s="8" t="n">
        <v>5</v>
      </c>
      <c r="B8" s="8" t="s">
        <v>111</v>
      </c>
      <c r="C8" s="8" t="s">
        <v>115</v>
      </c>
      <c r="D8" s="8" t="s">
        <v>116</v>
      </c>
      <c r="E8" s="9" t="s">
        <v>114</v>
      </c>
    </row>
    <row r="9" customFormat="false" ht="23.25" hidden="false" customHeight="true" outlineLevel="0" collapsed="false">
      <c r="A9" s="12" t="n">
        <v>6</v>
      </c>
      <c r="B9" s="12" t="s">
        <v>117</v>
      </c>
      <c r="C9" s="12" t="s">
        <v>118</v>
      </c>
      <c r="D9" s="12" t="s">
        <v>119</v>
      </c>
      <c r="E9" s="9" t="s">
        <v>110</v>
      </c>
    </row>
    <row r="10" customFormat="false" ht="15" hidden="false" customHeight="true" outlineLevel="0" collapsed="false">
      <c r="A10" s="12" t="n">
        <v>7</v>
      </c>
      <c r="B10" s="12" t="s">
        <v>102</v>
      </c>
      <c r="C10" s="12" t="s">
        <v>120</v>
      </c>
      <c r="D10" s="12" t="s">
        <v>121</v>
      </c>
      <c r="E10" s="9" t="s">
        <v>110</v>
      </c>
    </row>
    <row r="11" customFormat="false" ht="23.25" hidden="false" customHeight="true" outlineLevel="0" collapsed="false">
      <c r="A11" s="12" t="n">
        <v>8</v>
      </c>
      <c r="B11" s="12" t="s">
        <v>102</v>
      </c>
      <c r="C11" s="12" t="s">
        <v>122</v>
      </c>
      <c r="D11" s="12" t="s">
        <v>123</v>
      </c>
      <c r="E11" s="9" t="s">
        <v>110</v>
      </c>
    </row>
    <row r="12" customFormat="false" ht="23.25" hidden="false" customHeight="true" outlineLevel="0" collapsed="false">
      <c r="A12" s="12" t="n">
        <v>9</v>
      </c>
      <c r="B12" s="12" t="s">
        <v>102</v>
      </c>
      <c r="C12" s="12" t="s">
        <v>124</v>
      </c>
      <c r="D12" s="12" t="s">
        <v>125</v>
      </c>
      <c r="E12" s="9" t="s">
        <v>110</v>
      </c>
    </row>
    <row r="13" customFormat="false" ht="23.25" hidden="false" customHeight="true" outlineLevel="0" collapsed="false">
      <c r="A13" s="12" t="n">
        <v>10</v>
      </c>
      <c r="B13" s="12" t="s">
        <v>107</v>
      </c>
      <c r="C13" s="12" t="s">
        <v>126</v>
      </c>
      <c r="D13" s="12" t="s">
        <v>127</v>
      </c>
      <c r="E13" s="9" t="s">
        <v>110</v>
      </c>
    </row>
    <row r="14" customFormat="false" ht="23.25" hidden="false" customHeight="true" outlineLevel="0" collapsed="false">
      <c r="A14" s="12" t="n">
        <v>11</v>
      </c>
      <c r="B14" s="12" t="s">
        <v>111</v>
      </c>
      <c r="C14" s="12" t="s">
        <v>128</v>
      </c>
      <c r="D14" s="12" t="s">
        <v>129</v>
      </c>
      <c r="E14" s="9" t="s">
        <v>114</v>
      </c>
    </row>
  </sheetData>
  <dataValidations count="2">
    <dataValidation allowBlank="false" errorStyle="stop" operator="between" showDropDown="false" showErrorMessage="false" showInputMessage="false" sqref="E4:E8" type="list">
      <formula1>"Open,Done,Info"</formula1>
      <formula2>0</formula2>
    </dataValidation>
    <dataValidation allowBlank="false" errorStyle="stop" operator="between" showDropDown="false" showErrorMessage="false" showInputMessage="false" sqref="E9:E14" type="list">
      <formula1>"Open,Done,Info"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130</v>
      </c>
    </row>
    <row r="3" customFormat="false" ht="15" hidden="false" customHeight="true" outlineLevel="0" collapsed="false">
      <c r="A3" s="4" t="s">
        <v>131</v>
      </c>
      <c r="B3" s="4" t="s">
        <v>132</v>
      </c>
      <c r="C3" s="4" t="s">
        <v>133</v>
      </c>
      <c r="D3" s="4" t="s">
        <v>20</v>
      </c>
      <c r="E3" s="4" t="s">
        <v>134</v>
      </c>
    </row>
    <row r="4" customFormat="false" ht="15" hidden="false" customHeight="true" outlineLevel="0" collapsed="false">
      <c r="A4" s="12" t="n">
        <v>1</v>
      </c>
      <c r="B4" s="12" t="s">
        <v>135</v>
      </c>
      <c r="C4" s="12" t="s">
        <v>136</v>
      </c>
      <c r="D4" s="12" t="n">
        <v>1</v>
      </c>
      <c r="E4" s="12" t="s">
        <v>137</v>
      </c>
    </row>
    <row r="5" customFormat="false" ht="15" hidden="false" customHeight="true" outlineLevel="0" collapsed="false">
      <c r="A5" s="12" t="n">
        <v>2</v>
      </c>
      <c r="B5" s="12" t="s">
        <v>138</v>
      </c>
      <c r="C5" s="12" t="s">
        <v>139</v>
      </c>
      <c r="D5" s="12" t="n">
        <v>5</v>
      </c>
      <c r="E5" s="12" t="s">
        <v>139</v>
      </c>
    </row>
    <row r="6" customFormat="false" ht="15" hidden="false" customHeight="true" outlineLevel="0" collapsed="false">
      <c r="A6" s="12" t="n">
        <v>3</v>
      </c>
      <c r="B6" s="12" t="s">
        <v>140</v>
      </c>
      <c r="C6" s="12" t="s">
        <v>139</v>
      </c>
      <c r="D6" s="12" t="n">
        <v>4</v>
      </c>
      <c r="E6" s="12" t="s">
        <v>139</v>
      </c>
    </row>
    <row r="7" customFormat="false" ht="15" hidden="false" customHeight="true" outlineLevel="0" collapsed="false">
      <c r="A7" s="13" t="n">
        <v>4</v>
      </c>
      <c r="B7" s="13" t="s">
        <v>141</v>
      </c>
      <c r="C7" s="13" t="s">
        <v>139</v>
      </c>
      <c r="D7" s="13" t="n">
        <v>5</v>
      </c>
      <c r="E7" s="13" t="s">
        <v>139</v>
      </c>
    </row>
    <row r="8" customFormat="false" ht="15" hidden="false" customHeight="true" outlineLevel="0" collapsed="false">
      <c r="A8" s="12" t="n">
        <v>5</v>
      </c>
      <c r="B8" s="12" t="s">
        <v>142</v>
      </c>
      <c r="C8" s="12" t="s">
        <v>139</v>
      </c>
      <c r="D8" s="12" t="n">
        <v>5</v>
      </c>
      <c r="E8" s="12" t="s">
        <v>139</v>
      </c>
    </row>
    <row r="9" customFormat="false" ht="15" hidden="false" customHeight="true" outlineLevel="0" collapsed="false">
      <c r="A9" s="10"/>
      <c r="B9" s="10" t="s">
        <v>143</v>
      </c>
      <c r="C9" s="10"/>
      <c r="D9" s="10" t="n">
        <f aca="false">SUM(D4:D8)</f>
        <v>20</v>
      </c>
      <c r="E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2026-10-20T10:36:32Z</dcterms:created>
  <dc:creator>openpyxl</dc:creator>
  <dc:description/>
  <dc:language>en-US</dc:language>
  <cp:lastModifiedBy/>
  <dcterms:modified xsi:type="dcterms:W3CDTF">2026-10-25T16:59:25Z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